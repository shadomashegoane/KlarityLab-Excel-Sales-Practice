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065747bc6d8bcea/Desktop/The Klarity Lab/"/>
    </mc:Choice>
  </mc:AlternateContent>
  <xr:revisionPtr revIDLastSave="148" documentId="8_{71E475AE-27BF-4E1E-AAB8-BF5BDFC48F3E}" xr6:coauthVersionLast="47" xr6:coauthVersionMax="47" xr10:uidLastSave="{2A33EDA3-CB22-4551-868B-9F52C85FE46C}"/>
  <bookViews>
    <workbookView xWindow="-120" yWindow="-120" windowWidth="29040" windowHeight="15720" activeTab="1" xr2:uid="{00000000-000D-0000-FFFF-FFFF00000000}"/>
  </bookViews>
  <sheets>
    <sheet name="Practice" sheetId="3" r:id="rId1"/>
    <sheet name="Exerci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3" l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K5" i="3"/>
  <c r="J5" i="3"/>
  <c r="B24" i="2" a="1"/>
  <c r="B24" i="2" s="1"/>
  <c r="B23" i="2"/>
  <c r="B18" i="2"/>
  <c r="B15" i="2"/>
  <c r="B13" i="2"/>
  <c r="H11" i="2"/>
  <c r="H12" i="2"/>
  <c r="G12" i="2"/>
  <c r="G11" i="2"/>
  <c r="I6" i="2"/>
  <c r="I5" i="2"/>
  <c r="I3" i="2"/>
  <c r="B22" i="2" s="1" a="1"/>
  <c r="B22" i="2" s="1"/>
  <c r="I7" i="2"/>
  <c r="I11" i="2" s="1"/>
  <c r="I12" i="2" s="1"/>
  <c r="I9" i="2"/>
  <c r="I4" i="2"/>
  <c r="B27" i="2" s="1"/>
  <c r="I10" i="2"/>
  <c r="I8" i="2"/>
  <c r="B10" i="2"/>
  <c r="B9" i="2"/>
  <c r="B8" i="2"/>
  <c r="H25" i="3"/>
  <c r="D25" i="3"/>
  <c r="E25" i="3"/>
  <c r="F25" i="3"/>
  <c r="C25" i="3"/>
  <c r="G25" i="3"/>
  <c r="G5" i="3"/>
  <c r="F2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D2" i="3"/>
  <c r="E2" i="3"/>
  <c r="B14" i="2" l="1"/>
  <c r="B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<sst xmlns="http://schemas.openxmlformats.org/spreadsheetml/2006/main" count="92" uniqueCount="84">
  <si>
    <t>S/N</t>
  </si>
  <si>
    <t>Sales Rep</t>
  </si>
  <si>
    <t>Product</t>
  </si>
  <si>
    <t>Quantity</t>
  </si>
  <si>
    <t>Unit Price (₦)</t>
  </si>
  <si>
    <t>Total Sales (₦)</t>
  </si>
  <si>
    <t>Region</t>
  </si>
  <si>
    <t>Status</t>
  </si>
  <si>
    <t>John</t>
  </si>
  <si>
    <t>Bag</t>
  </si>
  <si>
    <t>West</t>
  </si>
  <si>
    <t>Mary</t>
  </si>
  <si>
    <t>Shoe</t>
  </si>
  <si>
    <t>East</t>
  </si>
  <si>
    <t>Paul</t>
  </si>
  <si>
    <t>Watch</t>
  </si>
  <si>
    <t>Grace</t>
  </si>
  <si>
    <t>Phone</t>
  </si>
  <si>
    <t>North</t>
  </si>
  <si>
    <t>David</t>
  </si>
  <si>
    <t>Cap</t>
  </si>
  <si>
    <t>South</t>
  </si>
  <si>
    <t>Sarah</t>
  </si>
  <si>
    <t>James</t>
  </si>
  <si>
    <t>Ruth</t>
  </si>
  <si>
    <t>SECTION A: BASIC CALCULATIONS</t>
  </si>
  <si>
    <t>2. Find the Grand Total Sales.</t>
  </si>
  <si>
    <t>3. Calculate the Average Sales.</t>
  </si>
  <si>
    <t>SECTION B: COUNT FUNCTIONS</t>
  </si>
  <si>
    <t>4. Count how many sales entries have numeric quantities.</t>
  </si>
  <si>
    <t>5. Count all non-empty cells in Quantity column.</t>
  </si>
  <si>
    <t>6. Count how many sales reps are from West region.</t>
  </si>
  <si>
    <t>SECTION C: COUNTIF &amp; SUMIF</t>
  </si>
  <si>
    <t>7. Count how many products have Quantity greater than 4.</t>
  </si>
  <si>
    <t>8. Calculate total sales for West region only.</t>
  </si>
  <si>
    <t>9. Count how many times 'Bag' was sold.</t>
  </si>
  <si>
    <t>SECTION D: PRODUCT FUNCTION</t>
  </si>
  <si>
    <t>13. Which product generated the highest sales?</t>
  </si>
  <si>
    <t>14. How many transactions are above ₦10,000?</t>
  </si>
  <si>
    <t>BONUS:</t>
  </si>
  <si>
    <t xml:space="preserve">1. Calculate Total Sales for each row </t>
  </si>
  <si>
    <t>10. Whats the total sales for John</t>
  </si>
  <si>
    <t>SECTION E: ANALYSIS</t>
  </si>
  <si>
    <t>15. Find total sales for only Shoes.</t>
  </si>
  <si>
    <t>16. Find total sales for East region.</t>
  </si>
  <si>
    <t>QUESTIONS</t>
  </si>
  <si>
    <t>SOLUTION</t>
  </si>
  <si>
    <r>
      <t xml:space="preserve">TOTAL SALES REPS </t>
    </r>
    <r>
      <rPr>
        <b/>
        <i/>
        <sz val="11"/>
        <color theme="5"/>
        <rFont val="Calibri"/>
        <family val="2"/>
        <scheme val="minor"/>
      </rPr>
      <t>(COUNT)</t>
    </r>
  </si>
  <si>
    <t>QUARTER 1</t>
  </si>
  <si>
    <t>QUARTER 2</t>
  </si>
  <si>
    <t>QUARTER 3</t>
  </si>
  <si>
    <t>QUARTER 4</t>
  </si>
  <si>
    <t>TOTAL COMMISSION</t>
  </si>
  <si>
    <t>TAX RATE</t>
  </si>
  <si>
    <t>TAX AMOUNT</t>
  </si>
  <si>
    <t>NET AMOUNT</t>
  </si>
  <si>
    <t>Sales Rep 1</t>
  </si>
  <si>
    <t>Sales Rep 2</t>
  </si>
  <si>
    <t>Sales Rep 3</t>
  </si>
  <si>
    <t>Sales Rep 4</t>
  </si>
  <si>
    <t>Sales Rep 5</t>
  </si>
  <si>
    <t>Sales Rep 6</t>
  </si>
  <si>
    <t>Sales Rep 7</t>
  </si>
  <si>
    <t>Sales Rep 8</t>
  </si>
  <si>
    <t>Sales Rep 9</t>
  </si>
  <si>
    <t>Sales Rep 10</t>
  </si>
  <si>
    <t>Sales Rep 11</t>
  </si>
  <si>
    <t>Sales Rep 12</t>
  </si>
  <si>
    <t>Sales Rep 13</t>
  </si>
  <si>
    <t>Sales Rep 14</t>
  </si>
  <si>
    <t>Sales Rep 15</t>
  </si>
  <si>
    <t>Sales Rep 16</t>
  </si>
  <si>
    <t>Sales Rep 17</t>
  </si>
  <si>
    <t>Sales Rep 18</t>
  </si>
  <si>
    <t>Sales Rep 19</t>
  </si>
  <si>
    <t>Sales Rep 20</t>
  </si>
  <si>
    <r>
      <t xml:space="preserve">TOTAL SERIAL NUMBER </t>
    </r>
    <r>
      <rPr>
        <b/>
        <i/>
        <sz val="11"/>
        <color theme="5"/>
        <rFont val="Calibri"/>
        <family val="2"/>
        <scheme val="minor"/>
      </rPr>
      <t>(COUNTA) COLUMN A</t>
    </r>
  </si>
  <si>
    <r>
      <rPr>
        <b/>
        <i/>
        <sz val="11"/>
        <color theme="5"/>
        <rFont val="Calibri"/>
        <family val="2"/>
        <scheme val="minor"/>
      </rPr>
      <t>(COUNTIF)</t>
    </r>
    <r>
      <rPr>
        <b/>
        <i/>
        <sz val="11"/>
        <color theme="1"/>
        <rFont val="Calibri"/>
        <family val="2"/>
        <scheme val="minor"/>
      </rPr>
      <t xml:space="preserve"> TOL COMM &gt;50,000</t>
    </r>
  </si>
  <si>
    <t>AVEG. COMM</t>
  </si>
  <si>
    <t xml:space="preserve">Totals </t>
  </si>
  <si>
    <t>AverageTotal</t>
  </si>
  <si>
    <t>cell is ignored</t>
  </si>
  <si>
    <t>WHO SOLD THE MOST QUANTITY</t>
  </si>
  <si>
    <t>11. What happens if Quantity is empty (Row 8)? Explain.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</si>
</sst>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₦-468]\ #,##0.0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8" tint="-0.499984740745262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DDDDD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8" fillId="5" borderId="0" applyNumberFormat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0" xfId="2"/>
    <xf numFmtId="0" fontId="6" fillId="4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/>
    <xf numFmtId="0" fontId="2" fillId="0" borderId="9" xfId="0" applyFont="1" applyBorder="1"/>
    <xf numFmtId="164" fontId="7" fillId="0" borderId="9" xfId="0" applyNumberFormat="1" applyFont="1" applyBorder="1"/>
    <xf numFmtId="164" fontId="0" fillId="0" borderId="9" xfId="0" applyNumberFormat="1" applyBorder="1"/>
    <xf numFmtId="10" fontId="0" fillId="0" borderId="9" xfId="1" applyNumberFormat="1" applyFont="1" applyFill="1" applyBorder="1"/>
    <xf numFmtId="164" fontId="0" fillId="0" borderId="10" xfId="0" applyNumberFormat="1" applyBorder="1"/>
    <xf numFmtId="164" fontId="2" fillId="0" borderId="11" xfId="0" applyNumberFormat="1" applyFont="1" applyBorder="1"/>
    <xf numFmtId="0" fontId="0" fillId="0" borderId="12" xfId="0" applyBorder="1"/>
    <xf numFmtId="164" fontId="7" fillId="0" borderId="1" xfId="0" applyNumberFormat="1" applyFont="1" applyBorder="1"/>
    <xf numFmtId="0" fontId="0" fillId="0" borderId="13" xfId="0" applyBorder="1"/>
    <xf numFmtId="0" fontId="2" fillId="0" borderId="14" xfId="0" applyFont="1" applyBorder="1"/>
    <xf numFmtId="164" fontId="7" fillId="0" borderId="15" xfId="0" applyNumberFormat="1" applyFont="1" applyBorder="1"/>
    <xf numFmtId="164" fontId="0" fillId="0" borderId="16" xfId="0" applyNumberFormat="1" applyBorder="1"/>
    <xf numFmtId="10" fontId="0" fillId="0" borderId="16" xfId="1" applyNumberFormat="1" applyFont="1" applyFill="1" applyBorder="1"/>
    <xf numFmtId="164" fontId="2" fillId="0" borderId="1" xfId="0" applyNumberFormat="1" applyFont="1" applyBorder="1"/>
    <xf numFmtId="0" fontId="2" fillId="0" borderId="17" xfId="0" applyFont="1" applyBorder="1"/>
    <xf numFmtId="0" fontId="2" fillId="0" borderId="18" xfId="0" applyFont="1" applyBorder="1"/>
    <xf numFmtId="0" fontId="0" fillId="0" borderId="15" xfId="0" applyBorder="1"/>
    <xf numFmtId="165" fontId="8" fillId="5" borderId="1" xfId="3" applyNumberFormat="1" applyBorder="1"/>
    <xf numFmtId="0" fontId="8" fillId="5" borderId="1" xfId="3" applyBorder="1"/>
    <xf numFmtId="2" fontId="8" fillId="5" borderId="1" xfId="3" applyNumberFormat="1" applyBorder="1"/>
    <xf numFmtId="0" fontId="0" fillId="0" borderId="1" xfId="0" applyBorder="1" applyAlignment="1">
      <alignment horizontal="left" indent="2"/>
    </xf>
    <xf numFmtId="0" fontId="8" fillId="5" borderId="1" xfId="3" applyBorder="1" applyAlignment="1">
      <alignment horizontal="left" indent="2"/>
    </xf>
  </cellXfs>
  <cellStyles count="4">
    <cellStyle name="Good" xfId="3" builtinId="26"/>
    <cellStyle name="Normal" xfId="0" builtinId="0"/>
    <cellStyle name="Normal 4" xfId="2" xr:uid="{51017485-5F49-4594-8A8A-31E33D6F8439}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96CF-BB2D-48C1-8810-40F56B6B7C76}">
  <dimension ref="A1:K25"/>
  <sheetViews>
    <sheetView zoomScale="90" zoomScaleNormal="90" workbookViewId="0">
      <selection activeCell="N28" sqref="N28"/>
    </sheetView>
  </sheetViews>
  <sheetFormatPr defaultRowHeight="15" x14ac:dyDescent="0.25"/>
  <cols>
    <col min="1" max="1" width="19.28515625" customWidth="1"/>
    <col min="2" max="2" width="25.42578125" customWidth="1"/>
    <col min="3" max="3" width="14.28515625" bestFit="1" customWidth="1"/>
    <col min="4" max="4" width="30.7109375" customWidth="1"/>
    <col min="5" max="5" width="40.140625" bestFit="1" customWidth="1"/>
    <col min="6" max="6" width="27.85546875" bestFit="1" customWidth="1"/>
    <col min="7" max="7" width="18.28515625" bestFit="1" customWidth="1"/>
    <col min="8" max="8" width="20.5703125" bestFit="1" customWidth="1"/>
    <col min="9" max="9" width="8.85546875" bestFit="1" customWidth="1"/>
    <col min="10" max="10" width="12.42578125" bestFit="1" customWidth="1"/>
    <col min="11" max="11" width="38.140625" customWidth="1"/>
  </cols>
  <sheetData>
    <row r="1" spans="1:11" x14ac:dyDescent="0.25">
      <c r="D1" s="6" t="s">
        <v>47</v>
      </c>
      <c r="E1" s="6" t="s">
        <v>76</v>
      </c>
      <c r="F1" s="6" t="s">
        <v>77</v>
      </c>
      <c r="G1" s="7"/>
    </row>
    <row r="2" spans="1:11" ht="16.5" thickBot="1" x14ac:dyDescent="0.3">
      <c r="D2" s="8">
        <f>COUNTA(B5:B24)</f>
        <v>20</v>
      </c>
      <c r="E2" s="8">
        <f>COUNTA(A5:A24)</f>
        <v>11</v>
      </c>
      <c r="F2" s="8">
        <f>COUNTIF(G5:G24,"&gt;50000")</f>
        <v>20</v>
      </c>
      <c r="G2" s="7"/>
    </row>
    <row r="3" spans="1:11" ht="15.75" thickBot="1" x14ac:dyDescent="0.3"/>
    <row r="4" spans="1:11" ht="15.75" thickBot="1" x14ac:dyDescent="0.3">
      <c r="A4" s="9" t="s">
        <v>0</v>
      </c>
      <c r="B4" s="10"/>
      <c r="C4" s="11" t="s">
        <v>48</v>
      </c>
      <c r="D4" s="11" t="s">
        <v>49</v>
      </c>
      <c r="E4" s="11" t="s">
        <v>50</v>
      </c>
      <c r="F4" s="11" t="s">
        <v>51</v>
      </c>
      <c r="G4" s="10" t="s">
        <v>52</v>
      </c>
      <c r="H4" s="10" t="s">
        <v>78</v>
      </c>
      <c r="I4" s="10" t="s">
        <v>53</v>
      </c>
      <c r="J4" s="12" t="s">
        <v>54</v>
      </c>
      <c r="K4" s="13" t="s">
        <v>55</v>
      </c>
    </row>
    <row r="5" spans="1:11" x14ac:dyDescent="0.25">
      <c r="A5" s="14">
        <v>1</v>
      </c>
      <c r="B5" s="15" t="s">
        <v>56</v>
      </c>
      <c r="C5" s="16">
        <v>157712.0904070705</v>
      </c>
      <c r="D5" s="16">
        <v>96970.997049398051</v>
      </c>
      <c r="E5" s="16">
        <v>82118.064550781739</v>
      </c>
      <c r="F5" s="16">
        <v>81274.912484907254</v>
      </c>
      <c r="G5" s="17">
        <f>SUM(C5:F5)</f>
        <v>418076.06449215754</v>
      </c>
      <c r="H5" s="17">
        <f>AVERAGE(C5:F5)</f>
        <v>104519.01612303939</v>
      </c>
      <c r="I5" s="18">
        <v>8.2500000000000004E-2</v>
      </c>
      <c r="J5" s="19">
        <f>(G5*I5)</f>
        <v>34491.275320602996</v>
      </c>
      <c r="K5" s="20">
        <f>(G5-J5)</f>
        <v>383584.78917155456</v>
      </c>
    </row>
    <row r="6" spans="1:11" x14ac:dyDescent="0.25">
      <c r="A6" s="21">
        <v>2</v>
      </c>
      <c r="B6" s="15" t="s">
        <v>57</v>
      </c>
      <c r="C6" s="22">
        <v>91396.233757565409</v>
      </c>
      <c r="D6" s="22">
        <v>80945.318984951795</v>
      </c>
      <c r="E6" s="22">
        <v>192859.48542812618</v>
      </c>
      <c r="F6" s="22">
        <v>158245.13910626294</v>
      </c>
      <c r="G6" s="17">
        <f t="shared" ref="G6:G24" si="0">SUM(C6:F6)</f>
        <v>523446.17727690632</v>
      </c>
      <c r="H6" s="17">
        <f t="shared" ref="H6:H24" si="1">AVERAGE(C6:F6)</f>
        <v>130861.54431922658</v>
      </c>
      <c r="I6" s="18">
        <v>8.2500000000000004E-2</v>
      </c>
      <c r="J6" s="19">
        <f t="shared" ref="J6:J24" si="2">(G6*I6)</f>
        <v>43184.309625344773</v>
      </c>
      <c r="K6" s="20">
        <f t="shared" ref="K6:K24" si="3">(G6-J6)</f>
        <v>480261.86765156157</v>
      </c>
    </row>
    <row r="7" spans="1:11" x14ac:dyDescent="0.25">
      <c r="A7" s="21">
        <v>3</v>
      </c>
      <c r="B7" s="15" t="s">
        <v>58</v>
      </c>
      <c r="C7" s="22">
        <v>155422.21912158627</v>
      </c>
      <c r="D7" s="22">
        <v>129903.22543053707</v>
      </c>
      <c r="E7" s="22">
        <v>100063.62330230264</v>
      </c>
      <c r="F7" s="22">
        <v>78409.961604144308</v>
      </c>
      <c r="G7" s="17">
        <f t="shared" si="0"/>
        <v>463799.02945857029</v>
      </c>
      <c r="H7" s="17">
        <f t="shared" si="1"/>
        <v>115949.75736464257</v>
      </c>
      <c r="I7" s="18">
        <v>8.2500000000000004E-2</v>
      </c>
      <c r="J7" s="19">
        <f t="shared" si="2"/>
        <v>38263.419930332049</v>
      </c>
      <c r="K7" s="20">
        <f t="shared" si="3"/>
        <v>425535.60952823824</v>
      </c>
    </row>
    <row r="8" spans="1:11" x14ac:dyDescent="0.25">
      <c r="A8" s="21"/>
      <c r="B8" s="15" t="s">
        <v>59</v>
      </c>
      <c r="C8" s="22">
        <v>197442.72270394186</v>
      </c>
      <c r="D8" s="22">
        <v>189820.01792637861</v>
      </c>
      <c r="E8" s="22">
        <v>127286.37120593424</v>
      </c>
      <c r="F8" s="22">
        <v>62046.682727057429</v>
      </c>
      <c r="G8" s="17">
        <f t="shared" si="0"/>
        <v>576595.79456331208</v>
      </c>
      <c r="H8" s="17">
        <f t="shared" si="1"/>
        <v>144148.94864082802</v>
      </c>
      <c r="I8" s="18">
        <v>8.2500000000000004E-2</v>
      </c>
      <c r="J8" s="19">
        <f t="shared" si="2"/>
        <v>47569.153051473251</v>
      </c>
      <c r="K8" s="20">
        <f t="shared" si="3"/>
        <v>529026.64151183888</v>
      </c>
    </row>
    <row r="9" spans="1:11" x14ac:dyDescent="0.25">
      <c r="A9" s="21"/>
      <c r="B9" s="15" t="s">
        <v>60</v>
      </c>
      <c r="C9" s="22">
        <v>130393.26997736166</v>
      </c>
      <c r="D9" s="22">
        <v>98931.138960411598</v>
      </c>
      <c r="E9" s="22">
        <v>67620.668154378887</v>
      </c>
      <c r="F9" s="22">
        <v>177515.15160546938</v>
      </c>
      <c r="G9" s="17">
        <f t="shared" si="0"/>
        <v>474460.2286976215</v>
      </c>
      <c r="H9" s="17">
        <f t="shared" si="1"/>
        <v>118615.05717440537</v>
      </c>
      <c r="I9" s="18">
        <v>8.2500000000000004E-2</v>
      </c>
      <c r="J9" s="19">
        <f t="shared" si="2"/>
        <v>39142.968867553776</v>
      </c>
      <c r="K9" s="20">
        <f t="shared" si="3"/>
        <v>435317.25983006775</v>
      </c>
    </row>
    <row r="10" spans="1:11" x14ac:dyDescent="0.25">
      <c r="A10" s="21"/>
      <c r="B10" s="15" t="s">
        <v>61</v>
      </c>
      <c r="C10" s="22">
        <v>171660.29432642457</v>
      </c>
      <c r="D10" s="22">
        <v>109435.04806804584</v>
      </c>
      <c r="E10" s="22">
        <v>67293.471427922719</v>
      </c>
      <c r="F10" s="22">
        <v>102963.30573537483</v>
      </c>
      <c r="G10" s="17">
        <f t="shared" si="0"/>
        <v>451352.11955776799</v>
      </c>
      <c r="H10" s="17">
        <f t="shared" si="1"/>
        <v>112838.029889442</v>
      </c>
      <c r="I10" s="18">
        <v>8.2500000000000004E-2</v>
      </c>
      <c r="J10" s="19">
        <f t="shared" si="2"/>
        <v>37236.549863515858</v>
      </c>
      <c r="K10" s="20">
        <f t="shared" si="3"/>
        <v>414115.5696942521</v>
      </c>
    </row>
    <row r="11" spans="1:11" x14ac:dyDescent="0.25">
      <c r="A11" s="21"/>
      <c r="B11" s="15" t="s">
        <v>62</v>
      </c>
      <c r="C11" s="22">
        <v>85005.055295162427</v>
      </c>
      <c r="D11" s="22">
        <v>88774.598851728573</v>
      </c>
      <c r="E11" s="22">
        <v>161953.70366228159</v>
      </c>
      <c r="F11" s="22">
        <v>195312.96081688508</v>
      </c>
      <c r="G11" s="17">
        <f t="shared" si="0"/>
        <v>531046.31862605771</v>
      </c>
      <c r="H11" s="17">
        <f t="shared" si="1"/>
        <v>132761.57965651443</v>
      </c>
      <c r="I11" s="18">
        <v>8.2500000000000004E-2</v>
      </c>
      <c r="J11" s="19">
        <f t="shared" si="2"/>
        <v>43811.321286649763</v>
      </c>
      <c r="K11" s="20">
        <f t="shared" si="3"/>
        <v>487234.99733940791</v>
      </c>
    </row>
    <row r="12" spans="1:11" x14ac:dyDescent="0.25">
      <c r="A12" s="21"/>
      <c r="B12" s="15" t="s">
        <v>63</v>
      </c>
      <c r="C12" s="22">
        <v>126431.89910842496</v>
      </c>
      <c r="D12" s="22">
        <v>140628.12450016281</v>
      </c>
      <c r="E12" s="22">
        <v>151051.24557345614</v>
      </c>
      <c r="F12" s="22">
        <v>115295.2258554599</v>
      </c>
      <c r="G12" s="17">
        <f t="shared" si="0"/>
        <v>533406.49503750389</v>
      </c>
      <c r="H12" s="17">
        <f t="shared" si="1"/>
        <v>133351.62375937597</v>
      </c>
      <c r="I12" s="18">
        <v>8.2500000000000004E-2</v>
      </c>
      <c r="J12" s="19">
        <f t="shared" si="2"/>
        <v>44006.035840594071</v>
      </c>
      <c r="K12" s="20">
        <f t="shared" si="3"/>
        <v>489400.4591969098</v>
      </c>
    </row>
    <row r="13" spans="1:11" x14ac:dyDescent="0.25">
      <c r="A13" s="21"/>
      <c r="B13" s="15" t="s">
        <v>64</v>
      </c>
      <c r="C13" s="22">
        <v>156415.77569900101</v>
      </c>
      <c r="D13" s="22">
        <v>126709.45212366228</v>
      </c>
      <c r="E13" s="22">
        <v>111043.68465897179</v>
      </c>
      <c r="F13" s="22">
        <v>143367.17745323869</v>
      </c>
      <c r="G13" s="17">
        <f t="shared" si="0"/>
        <v>537536.08993487374</v>
      </c>
      <c r="H13" s="17">
        <f t="shared" si="1"/>
        <v>134384.02248371844</v>
      </c>
      <c r="I13" s="18">
        <v>8.2500000000000004E-2</v>
      </c>
      <c r="J13" s="19">
        <f t="shared" si="2"/>
        <v>44346.727419627088</v>
      </c>
      <c r="K13" s="20">
        <f t="shared" si="3"/>
        <v>493189.36251524667</v>
      </c>
    </row>
    <row r="14" spans="1:11" x14ac:dyDescent="0.25">
      <c r="A14" s="21"/>
      <c r="B14" s="15" t="s">
        <v>65</v>
      </c>
      <c r="C14" s="22">
        <v>116390.33589935582</v>
      </c>
      <c r="D14" s="22">
        <v>138212.91361876577</v>
      </c>
      <c r="E14" s="22">
        <v>82556.406565496814</v>
      </c>
      <c r="F14" s="22">
        <v>123307.08885284909</v>
      </c>
      <c r="G14" s="17">
        <f t="shared" si="0"/>
        <v>460466.7449364675</v>
      </c>
      <c r="H14" s="17">
        <f t="shared" si="1"/>
        <v>115116.68623411687</v>
      </c>
      <c r="I14" s="18">
        <v>8.2500000000000004E-2</v>
      </c>
      <c r="J14" s="19">
        <f t="shared" si="2"/>
        <v>37988.506457258569</v>
      </c>
      <c r="K14" s="20">
        <f t="shared" si="3"/>
        <v>422478.2384792089</v>
      </c>
    </row>
    <row r="15" spans="1:11" x14ac:dyDescent="0.25">
      <c r="A15" s="21"/>
      <c r="B15" s="15" t="s">
        <v>66</v>
      </c>
      <c r="C15" s="22">
        <v>100329.43848250818</v>
      </c>
      <c r="D15" s="22">
        <v>153318.1609171399</v>
      </c>
      <c r="E15" s="22">
        <v>187415.26594814466</v>
      </c>
      <c r="F15" s="22">
        <v>74839.720544114796</v>
      </c>
      <c r="G15" s="17">
        <f t="shared" si="0"/>
        <v>515902.58589190757</v>
      </c>
      <c r="H15" s="17">
        <f t="shared" si="1"/>
        <v>128975.64647297689</v>
      </c>
      <c r="I15" s="18">
        <v>8.2500000000000004E-2</v>
      </c>
      <c r="J15" s="19">
        <f t="shared" si="2"/>
        <v>42561.963336082379</v>
      </c>
      <c r="K15" s="20">
        <f t="shared" si="3"/>
        <v>473340.62255582516</v>
      </c>
    </row>
    <row r="16" spans="1:11" x14ac:dyDescent="0.25">
      <c r="A16" s="21"/>
      <c r="B16" s="15" t="s">
        <v>67</v>
      </c>
      <c r="C16" s="22">
        <v>109958.71977429499</v>
      </c>
      <c r="D16" s="22">
        <v>69381.246448269492</v>
      </c>
      <c r="E16" s="22">
        <v>194657.61080629146</v>
      </c>
      <c r="F16" s="22">
        <v>94597.991919964057</v>
      </c>
      <c r="G16" s="17">
        <f t="shared" si="0"/>
        <v>468595.56894882</v>
      </c>
      <c r="H16" s="17">
        <f t="shared" si="1"/>
        <v>117148.892237205</v>
      </c>
      <c r="I16" s="18">
        <v>8.2500000000000004E-2</v>
      </c>
      <c r="J16" s="19">
        <f t="shared" si="2"/>
        <v>38659.134438277651</v>
      </c>
      <c r="K16" s="20">
        <f t="shared" si="3"/>
        <v>429936.43451054237</v>
      </c>
    </row>
    <row r="17" spans="1:11" x14ac:dyDescent="0.25">
      <c r="A17" s="21">
        <v>13</v>
      </c>
      <c r="B17" s="15" t="s">
        <v>68</v>
      </c>
      <c r="C17" s="22">
        <v>70227.944379045133</v>
      </c>
      <c r="D17" s="22">
        <v>117914.58942284121</v>
      </c>
      <c r="E17" s="22">
        <v>108905.24868552448</v>
      </c>
      <c r="F17" s="22">
        <v>176937.98216768529</v>
      </c>
      <c r="G17" s="17">
        <f t="shared" si="0"/>
        <v>473985.76465509611</v>
      </c>
      <c r="H17" s="17">
        <f t="shared" si="1"/>
        <v>118496.44116377403</v>
      </c>
      <c r="I17" s="18">
        <v>8.2500000000000004E-2</v>
      </c>
      <c r="J17" s="19">
        <f t="shared" si="2"/>
        <v>39103.825584045429</v>
      </c>
      <c r="K17" s="20">
        <f t="shared" si="3"/>
        <v>434881.93907105067</v>
      </c>
    </row>
    <row r="18" spans="1:11" x14ac:dyDescent="0.25">
      <c r="A18" s="21">
        <v>14</v>
      </c>
      <c r="B18" s="15" t="s">
        <v>69</v>
      </c>
      <c r="C18" s="22">
        <v>149149.336874025</v>
      </c>
      <c r="D18" s="22">
        <v>178213.76899194397</v>
      </c>
      <c r="E18" s="22">
        <v>87291.388867522008</v>
      </c>
      <c r="F18" s="22">
        <v>178530.38245837018</v>
      </c>
      <c r="G18" s="17">
        <f t="shared" si="0"/>
        <v>593184.87719186116</v>
      </c>
      <c r="H18" s="17">
        <f t="shared" si="1"/>
        <v>148296.21929796529</v>
      </c>
      <c r="I18" s="18">
        <v>8.2500000000000004E-2</v>
      </c>
      <c r="J18" s="19">
        <f t="shared" si="2"/>
        <v>48937.752368328547</v>
      </c>
      <c r="K18" s="20">
        <f t="shared" si="3"/>
        <v>544247.12482353265</v>
      </c>
    </row>
    <row r="19" spans="1:11" x14ac:dyDescent="0.25">
      <c r="A19" s="21">
        <v>15</v>
      </c>
      <c r="B19" s="15" t="s">
        <v>70</v>
      </c>
      <c r="C19" s="22">
        <v>143618.94914575855</v>
      </c>
      <c r="D19" s="22">
        <v>176944.66121846027</v>
      </c>
      <c r="E19" s="22">
        <v>187355.45409259803</v>
      </c>
      <c r="F19" s="22">
        <v>194787.81687466879</v>
      </c>
      <c r="G19" s="17">
        <f t="shared" si="0"/>
        <v>702706.8813314857</v>
      </c>
      <c r="H19" s="17">
        <f t="shared" si="1"/>
        <v>175676.72033287142</v>
      </c>
      <c r="I19" s="18">
        <v>8.2500000000000004E-2</v>
      </c>
      <c r="J19" s="19">
        <f t="shared" si="2"/>
        <v>57973.317709847572</v>
      </c>
      <c r="K19" s="20">
        <f t="shared" si="3"/>
        <v>644733.56362163811</v>
      </c>
    </row>
    <row r="20" spans="1:11" x14ac:dyDescent="0.25">
      <c r="A20" s="21">
        <v>16</v>
      </c>
      <c r="B20" s="15" t="s">
        <v>71</v>
      </c>
      <c r="C20" s="22">
        <v>102656.61683838916</v>
      </c>
      <c r="D20" s="22">
        <v>141279.44388224508</v>
      </c>
      <c r="E20" s="22">
        <v>199275.04337043458</v>
      </c>
      <c r="F20" s="22">
        <v>84178.625386814965</v>
      </c>
      <c r="G20" s="17">
        <f t="shared" si="0"/>
        <v>527389.72947788378</v>
      </c>
      <c r="H20" s="17">
        <f t="shared" si="1"/>
        <v>131847.43236947095</v>
      </c>
      <c r="I20" s="18">
        <v>8.2500000000000004E-2</v>
      </c>
      <c r="J20" s="19">
        <f t="shared" si="2"/>
        <v>43509.652681925414</v>
      </c>
      <c r="K20" s="20">
        <f t="shared" si="3"/>
        <v>483880.07679595839</v>
      </c>
    </row>
    <row r="21" spans="1:11" x14ac:dyDescent="0.25">
      <c r="A21" s="21">
        <v>17</v>
      </c>
      <c r="B21" s="15" t="s">
        <v>72</v>
      </c>
      <c r="C21" s="22">
        <v>186806.57840594969</v>
      </c>
      <c r="D21" s="22">
        <v>131579.83999583413</v>
      </c>
      <c r="E21" s="22">
        <v>139144.31023544105</v>
      </c>
      <c r="F21" s="22">
        <v>147806.56433434895</v>
      </c>
      <c r="G21" s="17">
        <f t="shared" si="0"/>
        <v>605337.29297157377</v>
      </c>
      <c r="H21" s="17">
        <f t="shared" si="1"/>
        <v>151334.32324289344</v>
      </c>
      <c r="I21" s="18">
        <v>8.2500000000000004E-2</v>
      </c>
      <c r="J21" s="19">
        <f t="shared" si="2"/>
        <v>49940.326670154842</v>
      </c>
      <c r="K21" s="20">
        <f t="shared" si="3"/>
        <v>555396.96630141896</v>
      </c>
    </row>
    <row r="22" spans="1:11" x14ac:dyDescent="0.25">
      <c r="A22" s="21">
        <v>18</v>
      </c>
      <c r="B22" s="15" t="s">
        <v>73</v>
      </c>
      <c r="C22" s="22">
        <v>93102.734521121776</v>
      </c>
      <c r="D22" s="22">
        <v>163113.44307010813</v>
      </c>
      <c r="E22" s="22">
        <v>135263.65040917706</v>
      </c>
      <c r="F22" s="22">
        <v>85511.603493734729</v>
      </c>
      <c r="G22" s="17">
        <f t="shared" si="0"/>
        <v>476991.4314941417</v>
      </c>
      <c r="H22" s="17">
        <f t="shared" si="1"/>
        <v>119247.85787353542</v>
      </c>
      <c r="I22" s="18">
        <v>8.2500000000000004E-2</v>
      </c>
      <c r="J22" s="19">
        <f t="shared" si="2"/>
        <v>39351.793098266695</v>
      </c>
      <c r="K22" s="20">
        <f t="shared" si="3"/>
        <v>437639.63839587499</v>
      </c>
    </row>
    <row r="23" spans="1:11" x14ac:dyDescent="0.25">
      <c r="A23" s="21">
        <v>19</v>
      </c>
      <c r="B23" s="15" t="s">
        <v>74</v>
      </c>
      <c r="C23" s="22">
        <v>159507.47215332041</v>
      </c>
      <c r="D23" s="22">
        <v>124948.85537995392</v>
      </c>
      <c r="E23" s="22">
        <v>184324.34331973523</v>
      </c>
      <c r="F23" s="22">
        <v>199996.21226564329</v>
      </c>
      <c r="G23" s="17">
        <f t="shared" si="0"/>
        <v>668776.88311865286</v>
      </c>
      <c r="H23" s="17">
        <f t="shared" si="1"/>
        <v>167194.22077966321</v>
      </c>
      <c r="I23" s="18">
        <v>8.2500000000000004E-2</v>
      </c>
      <c r="J23" s="19">
        <f t="shared" si="2"/>
        <v>55174.092857288866</v>
      </c>
      <c r="K23" s="20">
        <f t="shared" si="3"/>
        <v>613602.79026136396</v>
      </c>
    </row>
    <row r="24" spans="1:11" ht="15.75" thickBot="1" x14ac:dyDescent="0.3">
      <c r="A24" s="23">
        <v>20</v>
      </c>
      <c r="B24" s="24" t="s">
        <v>75</v>
      </c>
      <c r="C24" s="25">
        <v>111229.42669810774</v>
      </c>
      <c r="D24" s="25">
        <v>148017.43516959096</v>
      </c>
      <c r="E24" s="25">
        <v>147205.65012076503</v>
      </c>
      <c r="F24" s="25">
        <v>108793.34639207346</v>
      </c>
      <c r="G24" s="26">
        <f t="shared" si="0"/>
        <v>515245.85838053713</v>
      </c>
      <c r="H24" s="26">
        <f t="shared" si="1"/>
        <v>128811.46459513428</v>
      </c>
      <c r="I24" s="27">
        <v>8.2500000000000004E-2</v>
      </c>
      <c r="J24" s="19">
        <f t="shared" si="2"/>
        <v>42507.783316394314</v>
      </c>
      <c r="K24" s="20">
        <f t="shared" si="3"/>
        <v>472738.07506414282</v>
      </c>
    </row>
    <row r="25" spans="1:11" x14ac:dyDescent="0.25">
      <c r="C25" s="28">
        <f>SUM(C5:C24)</f>
        <v>2614857.1135684154</v>
      </c>
      <c r="D25" s="28">
        <f t="shared" ref="D25:F25" si="4">SUM(D5:D24)</f>
        <v>2605042.2800104292</v>
      </c>
      <c r="E25" s="28">
        <f t="shared" si="4"/>
        <v>2714684.6903852862</v>
      </c>
      <c r="F25" s="28">
        <f t="shared" si="4"/>
        <v>2583717.8520790678</v>
      </c>
      <c r="G25" s="28">
        <f>SUM(G5:G24)</f>
        <v>10518301.936043199</v>
      </c>
      <c r="H25" s="28">
        <f>SUM(H5:H24)</f>
        <v>2629575.4840107998</v>
      </c>
      <c r="I25" s="2"/>
      <c r="J25" s="2"/>
      <c r="K25" s="2"/>
    </row>
  </sheetData>
  <conditionalFormatting sqref="B5:B2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tabSelected="1" workbookViewId="0">
      <selection activeCell="H12" sqref="H12"/>
    </sheetView>
  </sheetViews>
  <sheetFormatPr defaultRowHeight="15" x14ac:dyDescent="0.25"/>
  <cols>
    <col min="1" max="1" width="50.5703125" bestFit="1" customWidth="1"/>
    <col min="2" max="2" width="17.42578125" customWidth="1"/>
    <col min="3" max="3" width="57.42578125" customWidth="1"/>
    <col min="4" max="4" width="13" customWidth="1"/>
    <col min="7" max="7" width="9.5703125" bestFit="1" customWidth="1"/>
    <col min="8" max="8" width="15.7109375" customWidth="1"/>
    <col min="9" max="9" width="12.85546875" bestFit="1" customWidth="1"/>
  </cols>
  <sheetData>
    <row r="1" spans="1:11" x14ac:dyDescent="0.25">
      <c r="A1" s="4" t="s">
        <v>45</v>
      </c>
      <c r="B1" s="4" t="s">
        <v>46</v>
      </c>
    </row>
    <row r="2" spans="1:11" x14ac:dyDescent="0.25">
      <c r="A2" s="3" t="s">
        <v>25</v>
      </c>
      <c r="B2" s="33"/>
      <c r="D2" s="5" t="s">
        <v>0</v>
      </c>
      <c r="E2" s="5" t="s">
        <v>1</v>
      </c>
      <c r="F2" s="5" t="s">
        <v>2</v>
      </c>
      <c r="G2" s="5" t="s">
        <v>3</v>
      </c>
      <c r="H2" s="5" t="s">
        <v>4</v>
      </c>
      <c r="I2" s="5" t="s">
        <v>5</v>
      </c>
      <c r="J2" s="5" t="s">
        <v>6</v>
      </c>
      <c r="K2" s="5" t="s">
        <v>7</v>
      </c>
    </row>
    <row r="3" spans="1:11" x14ac:dyDescent="0.25">
      <c r="A3" s="2" t="s">
        <v>40</v>
      </c>
      <c r="B3" s="33"/>
      <c r="D3" s="2">
        <v>4</v>
      </c>
      <c r="E3" s="2" t="s">
        <v>16</v>
      </c>
      <c r="F3" s="2" t="s">
        <v>17</v>
      </c>
      <c r="G3" s="2">
        <v>1</v>
      </c>
      <c r="H3" s="2">
        <v>120000</v>
      </c>
      <c r="I3" s="2">
        <f t="shared" ref="I3:I10" si="0">PRODUCT(G3,H3)</f>
        <v>120000</v>
      </c>
      <c r="J3" s="2" t="s">
        <v>18</v>
      </c>
      <c r="K3" s="2"/>
    </row>
    <row r="4" spans="1:11" x14ac:dyDescent="0.25">
      <c r="A4" s="2" t="s">
        <v>26</v>
      </c>
      <c r="B4" s="33"/>
      <c r="D4" s="2">
        <v>7</v>
      </c>
      <c r="E4" s="2" t="s">
        <v>23</v>
      </c>
      <c r="F4" s="2" t="s">
        <v>12</v>
      </c>
      <c r="G4" s="2">
        <v>6</v>
      </c>
      <c r="H4" s="2">
        <v>5000</v>
      </c>
      <c r="I4" s="2">
        <f t="shared" si="0"/>
        <v>30000</v>
      </c>
      <c r="J4" s="2" t="s">
        <v>10</v>
      </c>
      <c r="K4" s="2"/>
    </row>
    <row r="5" spans="1:11" x14ac:dyDescent="0.25">
      <c r="A5" s="2" t="s">
        <v>27</v>
      </c>
      <c r="B5" s="34"/>
      <c r="D5" s="2">
        <v>3</v>
      </c>
      <c r="E5" s="2" t="s">
        <v>14</v>
      </c>
      <c r="F5" s="2" t="s">
        <v>15</v>
      </c>
      <c r="G5" s="2">
        <v>2</v>
      </c>
      <c r="H5" s="2">
        <v>8000</v>
      </c>
      <c r="I5" s="2">
        <f t="shared" si="0"/>
        <v>16000</v>
      </c>
      <c r="J5" s="2" t="s">
        <v>10</v>
      </c>
      <c r="K5" s="2"/>
    </row>
    <row r="6" spans="1:11" x14ac:dyDescent="0.25">
      <c r="A6" s="2"/>
      <c r="B6" s="33"/>
      <c r="D6" s="2">
        <v>2</v>
      </c>
      <c r="E6" s="2" t="s">
        <v>11</v>
      </c>
      <c r="F6" s="2" t="s">
        <v>12</v>
      </c>
      <c r="G6" s="2">
        <v>3</v>
      </c>
      <c r="H6" s="2">
        <v>5000</v>
      </c>
      <c r="I6" s="2">
        <f t="shared" si="0"/>
        <v>15000</v>
      </c>
      <c r="J6" s="2" t="s">
        <v>13</v>
      </c>
      <c r="K6" s="2"/>
    </row>
    <row r="7" spans="1:11" s="1" customFormat="1" x14ac:dyDescent="0.25">
      <c r="A7" s="3" t="s">
        <v>28</v>
      </c>
      <c r="B7" s="33"/>
      <c r="D7" s="2">
        <v>5</v>
      </c>
      <c r="E7" s="2" t="s">
        <v>19</v>
      </c>
      <c r="F7" s="2" t="s">
        <v>20</v>
      </c>
      <c r="G7" s="2">
        <v>10</v>
      </c>
      <c r="H7" s="2">
        <v>1500</v>
      </c>
      <c r="I7" s="2">
        <f t="shared" si="0"/>
        <v>15000</v>
      </c>
      <c r="J7" s="2" t="s">
        <v>21</v>
      </c>
      <c r="K7" s="2"/>
    </row>
    <row r="8" spans="1:11" x14ac:dyDescent="0.25">
      <c r="A8" s="2" t="s">
        <v>29</v>
      </c>
      <c r="B8" s="33">
        <f>COUNT(D3:D10)</f>
        <v>8</v>
      </c>
      <c r="D8" s="2">
        <v>1</v>
      </c>
      <c r="E8" s="2" t="s">
        <v>8</v>
      </c>
      <c r="F8" s="2" t="s">
        <v>9</v>
      </c>
      <c r="G8" s="2">
        <v>5</v>
      </c>
      <c r="H8" s="2">
        <v>2000</v>
      </c>
      <c r="I8" s="2">
        <f t="shared" si="0"/>
        <v>10000</v>
      </c>
      <c r="J8" s="2" t="s">
        <v>10</v>
      </c>
      <c r="K8" s="2"/>
    </row>
    <row r="9" spans="1:11" x14ac:dyDescent="0.25">
      <c r="A9" s="2" t="s">
        <v>30</v>
      </c>
      <c r="B9" s="33">
        <f>COUNT(G3:G10)</f>
        <v>7</v>
      </c>
      <c r="D9" s="2">
        <v>6</v>
      </c>
      <c r="E9" s="2" t="s">
        <v>22</v>
      </c>
      <c r="F9" s="2" t="s">
        <v>9</v>
      </c>
      <c r="G9" s="2">
        <v>4</v>
      </c>
      <c r="H9" s="2">
        <v>2000</v>
      </c>
      <c r="I9" s="2">
        <f t="shared" si="0"/>
        <v>8000</v>
      </c>
      <c r="J9" s="2" t="s">
        <v>13</v>
      </c>
      <c r="K9" s="2"/>
    </row>
    <row r="10" spans="1:11" x14ac:dyDescent="0.25">
      <c r="A10" s="2" t="s">
        <v>31</v>
      </c>
      <c r="B10" s="33">
        <f>COUNTIF(J3:J10,"=West")</f>
        <v>3</v>
      </c>
      <c r="D10" s="2">
        <v>8</v>
      </c>
      <c r="E10" s="2" t="s">
        <v>24</v>
      </c>
      <c r="F10" s="2" t="s">
        <v>15</v>
      </c>
      <c r="G10" s="31"/>
      <c r="H10" s="31">
        <v>8000</v>
      </c>
      <c r="I10" s="31">
        <f t="shared" si="0"/>
        <v>8000</v>
      </c>
      <c r="J10" s="2" t="s">
        <v>18</v>
      </c>
      <c r="K10" s="2"/>
    </row>
    <row r="11" spans="1:11" x14ac:dyDescent="0.25">
      <c r="A11" s="2"/>
      <c r="B11" s="33"/>
      <c r="D11" s="3" t="s">
        <v>79</v>
      </c>
      <c r="E11" s="3"/>
      <c r="F11" s="29"/>
      <c r="G11" s="32">
        <f>SUM(G3:G9)</f>
        <v>31</v>
      </c>
      <c r="H11" s="32">
        <f>SUM(H3:H10)</f>
        <v>151500</v>
      </c>
      <c r="I11" s="32">
        <f>SUM(I3:I10)</f>
        <v>222000</v>
      </c>
      <c r="J11" s="30"/>
      <c r="K11" s="3"/>
    </row>
    <row r="12" spans="1:11" s="1" customFormat="1" x14ac:dyDescent="0.25">
      <c r="A12" s="3" t="s">
        <v>32</v>
      </c>
      <c r="B12" s="33"/>
      <c r="D12" s="3" t="s">
        <v>80</v>
      </c>
      <c r="E12" s="3"/>
      <c r="F12" s="29"/>
      <c r="G12" s="32">
        <f>AVERAGE(G3:G10)</f>
        <v>4.4285714285714288</v>
      </c>
      <c r="H12" s="32">
        <f t="shared" ref="H12" si="1">AVERAGE(H3:H10)</f>
        <v>18937.5</v>
      </c>
      <c r="I12" s="32">
        <f>AVERAGE(I3:I11)</f>
        <v>49333.333333333336</v>
      </c>
      <c r="J12" s="30"/>
      <c r="K12" s="3"/>
    </row>
    <row r="13" spans="1:11" x14ac:dyDescent="0.25">
      <c r="A13" s="2" t="s">
        <v>33</v>
      </c>
      <c r="B13" s="33">
        <f>COUNTIF(G3:G10,"&gt;4")</f>
        <v>3</v>
      </c>
    </row>
    <row r="14" spans="1:11" x14ac:dyDescent="0.25">
      <c r="A14" s="2" t="s">
        <v>34</v>
      </c>
      <c r="B14" s="33">
        <f>SUMIF(J3:J10, "West",I3:I10)</f>
        <v>56000</v>
      </c>
    </row>
    <row r="15" spans="1:11" x14ac:dyDescent="0.25">
      <c r="A15" s="2" t="s">
        <v>35</v>
      </c>
      <c r="B15" s="33">
        <f>G3</f>
        <v>1</v>
      </c>
    </row>
    <row r="16" spans="1:11" x14ac:dyDescent="0.25">
      <c r="A16" s="2"/>
      <c r="B16" s="33"/>
    </row>
    <row r="17" spans="1:6" s="1" customFormat="1" x14ac:dyDescent="0.25">
      <c r="A17" s="3" t="s">
        <v>36</v>
      </c>
      <c r="B17" s="33"/>
    </row>
    <row r="18" spans="1:6" x14ac:dyDescent="0.25">
      <c r="A18" s="35" t="s">
        <v>41</v>
      </c>
      <c r="B18" s="33">
        <f>PRODUCT(G3,H3)</f>
        <v>120000</v>
      </c>
      <c r="D18" s="1"/>
      <c r="E18" s="1"/>
      <c r="F18" s="1"/>
    </row>
    <row r="19" spans="1:6" x14ac:dyDescent="0.25">
      <c r="A19" s="2" t="s">
        <v>83</v>
      </c>
      <c r="B19" s="36" t="s">
        <v>81</v>
      </c>
      <c r="D19" s="1"/>
      <c r="E19" s="1"/>
      <c r="F19" s="1"/>
    </row>
    <row r="20" spans="1:6" x14ac:dyDescent="0.25">
      <c r="A20" s="2"/>
      <c r="B20" s="33"/>
      <c r="D20" s="1"/>
      <c r="E20" s="1"/>
      <c r="F20" s="1"/>
    </row>
    <row r="21" spans="1:6" s="1" customFormat="1" x14ac:dyDescent="0.25">
      <c r="A21" s="3" t="s">
        <v>42</v>
      </c>
      <c r="B21" s="33"/>
    </row>
    <row r="22" spans="1:6" x14ac:dyDescent="0.25">
      <c r="A22" s="2" t="s">
        <v>37</v>
      </c>
      <c r="B22" s="33" t="str" cm="1">
        <f t="array" ref="B22">_xlfn._xlws.FILTER(F3:F10,I3:I10=MAX(I3:I10))</f>
        <v>Phone</v>
      </c>
      <c r="D22" s="1"/>
      <c r="E22" s="1"/>
      <c r="F22" s="1"/>
    </row>
    <row r="23" spans="1:6" x14ac:dyDescent="0.25">
      <c r="A23" s="2" t="s">
        <v>38</v>
      </c>
      <c r="B23" s="33">
        <f>COUNTIF(H3:H10,"&gt;10000")</f>
        <v>1</v>
      </c>
      <c r="D23" s="1"/>
      <c r="E23" s="1"/>
      <c r="F23" s="1"/>
    </row>
    <row r="24" spans="1:6" x14ac:dyDescent="0.25">
      <c r="A24" s="2" t="s">
        <v>82</v>
      </c>
      <c r="B24" s="33" t="str" cm="1">
        <f t="array" ref="B24">_xlfn._xlws.FILTER(E3:E10,G3:G10=MAX(G3:G10))</f>
        <v>David</v>
      </c>
      <c r="D24" s="1"/>
      <c r="E24" s="1"/>
      <c r="F24" s="1"/>
    </row>
    <row r="25" spans="1:6" x14ac:dyDescent="0.25">
      <c r="A25" s="2" t="s">
        <v>39</v>
      </c>
      <c r="B25" s="33"/>
      <c r="D25" s="1"/>
      <c r="E25" s="1"/>
      <c r="F25" s="1"/>
    </row>
    <row r="26" spans="1:6" x14ac:dyDescent="0.25">
      <c r="A26" s="2" t="s">
        <v>43</v>
      </c>
      <c r="B26" s="33">
        <f>SUMIF(F3:F10, "Shoe",I3:I10)</f>
        <v>45000</v>
      </c>
    </row>
    <row r="27" spans="1:6" x14ac:dyDescent="0.25">
      <c r="A27" s="2" t="s">
        <v>44</v>
      </c>
      <c r="B27" s="33">
        <f>SUMIF(J3:J10, "West",I3:I10)</f>
        <v>56000</v>
      </c>
    </row>
  </sheetData>
  <sortState xmlns:xlrd2="http://schemas.microsoft.com/office/spreadsheetml/2017/richdata2" ref="D3:K10">
    <sortCondition descending="1" ref="I3:I1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Shado Mashegoane</cp:lastModifiedBy>
  <dcterms:created xsi:type="dcterms:W3CDTF">2026-04-11T20:21:43Z</dcterms:created>
  <dcterms:modified xsi:type="dcterms:W3CDTF">2026-05-02T12:47:24Z</dcterms:modified>
</cp:coreProperties>
</file>